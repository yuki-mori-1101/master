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0490" windowHeight="7440"/>
  </bookViews>
  <sheets>
    <sheet name="請求書" sheetId="1" r:id="rId1"/>
    <sheet name="商品一覧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E7" i="1" s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<sst xmlns="http://schemas.openxmlformats.org/spreadsheetml/2006/main" count="29" uniqueCount="27">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</sst>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/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</cols>
  <sheetData>
    <row r="1" spans="1:5" ht="19.5" x14ac:dyDescent="0.4">
      <c r="A1" s="3" t="s">
        <v>0</v>
      </c>
    </row>
    <row r="2" spans="1:5" ht="12" customHeight="1" x14ac:dyDescent="0.4"/>
    <row r="3" spans="1:5" x14ac:dyDescent="0.4">
      <c r="A3" s="13" t="s">
        <v>1</v>
      </c>
      <c r="B3" s="4"/>
      <c r="E3" s="11" t="s">
        <v>17</v>
      </c>
    </row>
    <row r="4" spans="1:5" x14ac:dyDescent="0.4">
      <c r="A4" s="14" t="s">
        <v>10</v>
      </c>
      <c r="B4" s="1"/>
      <c r="E4" s="11" t="s">
        <v>11</v>
      </c>
    </row>
    <row r="6" spans="1:5" x14ac:dyDescent="0.4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</row>
    <row r="7" spans="1:5" x14ac:dyDescent="0.4">
      <c r="A7" s="2" t="s">
        <v>21</v>
      </c>
      <c r="B7" s="1" t="str">
        <f>IF(A7="","",VLOOKUP(A7,商品一覧!$A$4:$B$8,2,FALSE))</f>
        <v>OAチェアBタイプ</v>
      </c>
      <c r="C7" s="16">
        <f>IF(A7="","",VLOOKUP(A7,商品一覧!$A$4:$C$8,3,FALSE))</f>
        <v>53000</v>
      </c>
      <c r="D7" s="20">
        <v>2</v>
      </c>
      <c r="E7" s="16">
        <f>IF(COUNT(C7:D7)=2,C7*D7,"")</f>
        <v>106000</v>
      </c>
    </row>
    <row r="8" spans="1:5" x14ac:dyDescent="0.4">
      <c r="A8" s="2" t="s">
        <v>24</v>
      </c>
      <c r="B8" s="1" t="str">
        <f>IF(A8="","",VLOOKUP(A8,商品一覧!$A$4:$B$8,2,FALSE))</f>
        <v>折り畳み椅子Aタイプ</v>
      </c>
      <c r="C8" s="16">
        <f>IF(A8="","",VLOOKUP(A8,商品一覧!$A$4:$C$8,3,FALSE))</f>
        <v>4500</v>
      </c>
      <c r="D8" s="20">
        <v>6</v>
      </c>
      <c r="E8" s="16">
        <f>IF(COUNT(C8:D8)=2,C8*D8,"")</f>
        <v>27000</v>
      </c>
    </row>
    <row r="9" spans="1:5" ht="19.5" thickBot="1" x14ac:dyDescent="0.45">
      <c r="A9" s="23"/>
      <c r="B9" s="5" t="str">
        <f>IF(A9="","",VLOOKUP(A9,商品一覧!$A$4:$B$8,2,FALSE))</f>
        <v/>
      </c>
      <c r="C9" s="17" t="str">
        <f>IF(A9="","",VLOOKUP(A9,商品一覧!$A$4:$C$8,3,FALSE))</f>
        <v/>
      </c>
      <c r="D9" s="21"/>
      <c r="E9" s="17" t="str">
        <f>IF(COUNT(C9:D9)=2,C9*D9,"")</f>
        <v/>
      </c>
    </row>
    <row r="10" spans="1:5" ht="19.5" thickTop="1" x14ac:dyDescent="0.4">
      <c r="A10" s="7"/>
      <c r="B10" s="7"/>
      <c r="C10" s="7"/>
      <c r="D10" s="8" t="s">
        <v>7</v>
      </c>
      <c r="E10" s="18">
        <f>SUM(E7:E9)</f>
        <v>133000</v>
      </c>
    </row>
    <row r="11" spans="1:5" ht="19.5" thickBot="1" x14ac:dyDescent="0.45">
      <c r="A11" s="9"/>
      <c r="B11" s="9"/>
      <c r="C11" s="9"/>
      <c r="D11" s="10" t="s">
        <v>8</v>
      </c>
      <c r="E11" s="19">
        <f>E10*0.08</f>
        <v>10640</v>
      </c>
    </row>
    <row r="12" spans="1:5" ht="19.5" thickTop="1" x14ac:dyDescent="0.4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/>
  </sheetViews>
  <sheetFormatPr defaultRowHeight="18.75" x14ac:dyDescent="0.4"/>
  <cols>
    <col min="1" max="1" width="8.625" customWidth="1"/>
    <col min="2" max="2" width="20.5" bestFit="1" customWidth="1"/>
  </cols>
  <sheetData>
    <row r="1" spans="1:3" ht="19.5" x14ac:dyDescent="0.4">
      <c r="A1" s="3" t="s">
        <v>12</v>
      </c>
    </row>
    <row r="2" spans="1:3" ht="12" customHeight="1" x14ac:dyDescent="0.4"/>
    <row r="3" spans="1:3" x14ac:dyDescent="0.4">
      <c r="A3" s="15" t="s">
        <v>2</v>
      </c>
      <c r="B3" s="15" t="s">
        <v>3</v>
      </c>
      <c r="C3" s="15" t="s">
        <v>13</v>
      </c>
    </row>
    <row r="4" spans="1:3" x14ac:dyDescent="0.4">
      <c r="A4" s="24" t="s">
        <v>20</v>
      </c>
      <c r="B4" s="12" t="s">
        <v>14</v>
      </c>
      <c r="C4" s="22">
        <v>75000</v>
      </c>
    </row>
    <row r="5" spans="1:3" x14ac:dyDescent="0.4">
      <c r="A5" s="24" t="s">
        <v>22</v>
      </c>
      <c r="B5" s="12" t="s">
        <v>15</v>
      </c>
      <c r="C5" s="22">
        <v>53000</v>
      </c>
    </row>
    <row r="6" spans="1:3" x14ac:dyDescent="0.4">
      <c r="A6" s="24" t="s">
        <v>23</v>
      </c>
      <c r="B6" s="12" t="s">
        <v>16</v>
      </c>
      <c r="C6" s="22">
        <v>26000</v>
      </c>
    </row>
    <row r="7" spans="1:3" x14ac:dyDescent="0.4">
      <c r="A7" s="24" t="s">
        <v>25</v>
      </c>
      <c r="B7" s="12" t="s">
        <v>18</v>
      </c>
      <c r="C7" s="22">
        <v>4500</v>
      </c>
    </row>
    <row r="8" spans="1:3" x14ac:dyDescent="0.4">
      <c r="A8" s="24" t="s">
        <v>26</v>
      </c>
      <c r="B8" s="12" t="s">
        <v>19</v>
      </c>
      <c r="C8" s="22">
        <v>3000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請求書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2016-03-15T23:44:11Z</dcterms:created>
  <dcterms:modified xsi:type="dcterms:W3CDTF">2016-06-29T06:11:29Z</dcterms:modified>
</cp:coreProperties>
</file>