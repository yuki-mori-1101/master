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sample/chap8/"/>
    </mc:Choice>
  </mc:AlternateContent>
  <xr:revisionPtr revIDLastSave="0" documentId="13_ncr:1_{1F8F87A9-221F-924F-A5F5-11F5FA37716E}" xr6:coauthVersionLast="45" xr6:coauthVersionMax="45" xr10:uidLastSave="{00000000-0000-0000-0000-000000000000}"/>
  <bookViews>
    <workbookView xWindow="13860" yWindow="460" windowWidth="13860" windowHeight="17540" xr2:uid="{00000000-000D-0000-FFFF-FFFF00000000}"/>
  </bookViews>
  <sheets>
    <sheet name="記録" sheetId="1" r:id="rId1"/>
    <sheet name="集計" sheetId="2" r:id="rId2"/>
  </sheet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</calcChain>
</file>

<file path=xl/sharedStrings.xml><?xml version="1.0" encoding="utf-8"?>
<sst xmlns="http://schemas.openxmlformats.org/spreadsheetml/2006/main" count="119" uniqueCount="45">
  <si>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</si>
  <si>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</si>
  <si>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</si>
  <si>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</si>
  <si>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</si>
  <si>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</si>
  <si>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</si>
  <si>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売上金額</t>
    <rPh sb="0" eb="2">
      <t>ウリアゲ</t>
    </rPh>
    <rPh sb="2" eb="4">
      <t>キンガク</t>
    </rPh>
    <phoneticPr fontId="1"/>
  </si>
  <si>
    <t>ミックスサンド</t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</si>
  <si>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</si>
  <si>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</si>
  <si>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ベーグル</t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</si>
  <si>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</si>
  <si>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</si>
  <si>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</si>
  <si>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</si>
  <si>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菓子パン</t>
    <rPh sb="0" eb="2">
      <t>カシ</t>
    </rPh>
    <phoneticPr fontId="1"/>
  </si>
  <si>
    <t>ホットドッグ</t>
    <phoneticPr fontId="1"/>
  </si>
  <si>
    <t>タマゴサンド</t>
    <phoneticPr fontId="1"/>
  </si>
  <si>
    <t>アンパン</t>
    <phoneticPr fontId="1"/>
  </si>
  <si>
    <t>カレーパン</t>
    <phoneticPr fontId="1"/>
  </si>
  <si>
    <t>アンパン</t>
    <phoneticPr fontId="1"/>
  </si>
  <si>
    <t>ツナサンド</t>
    <phoneticPr fontId="1"/>
  </si>
  <si>
    <t>メロンパン</t>
    <phoneticPr fontId="1"/>
  </si>
  <si>
    <t>ロールパン</t>
    <phoneticPr fontId="1"/>
  </si>
  <si>
    <t>食パン</t>
    <rPh sb="0" eb="1">
      <t>ショク</t>
    </rPh>
    <phoneticPr fontId="1"/>
  </si>
  <si>
    <t>タマゴサンド</t>
    <phoneticPr fontId="1"/>
  </si>
  <si>
    <t>クリームパン</t>
    <phoneticPr fontId="1"/>
  </si>
  <si>
    <t>ベーグル</t>
    <phoneticPr fontId="1"/>
  </si>
  <si>
    <t>コロッケパン</t>
    <phoneticPr fontId="1"/>
  </si>
  <si>
    <t>カレーパン</t>
    <phoneticPr fontId="1"/>
  </si>
  <si>
    <t>メロンパン</t>
    <phoneticPr fontId="1"/>
  </si>
  <si>
    <t>ベーグル</t>
    <phoneticPr fontId="1"/>
  </si>
  <si>
    <t>メロンパン</t>
    <phoneticPr fontId="1"/>
  </si>
  <si>
    <t>列ラベル</t>
  </si>
  <si>
    <t>女</t>
  </si>
  <si>
    <t>男</t>
  </si>
  <si>
    <t>総計</t>
  </si>
  <si>
    <t>行ラベル</t>
  </si>
  <si>
    <t>菓子パン</t>
  </si>
  <si>
    <t>基本パン</t>
  </si>
  <si>
    <t>惣菜パン</t>
  </si>
  <si>
    <t>日付</t>
  </si>
  <si>
    <t>(すべて)</t>
  </si>
  <si>
    <t>平均 / 売上金額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</si>
</sst>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3">
    <dxf>
      <numFmt numFmtId="0" formatCode="General"/>
    </dxf>
    <dxf>
      <numFmt numFmtId="25" formatCode="h:mm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土屋和人" refreshedDate="42501.021999652781" createdVersion="6" refreshedVersion="6" minRefreshableVersion="3" recordCount="33" xr:uid="{00000000-000A-0000-FFFF-FFFF03000000}">
  <cacheSource type="worksheet">
    <worksheetSource name="売上記録"/>
  </cacheSource>
  <cacheFields count="8">
    <cacheField name="日付" numFmtId="14">
      <sharedItems containsSemiMixedTypes="0" containsNonDate="0" containsDate="1" containsString="0" minDate="2016-04-01T00:00:00" maxDate="2016-04-04T00:00:00" count="3">
        <d v="2016-04-01T00:00:00"/>
        <d v="2016-04-02T00:00:00"/>
        <d v="2016-04-03T00:00:00"/>
      </sharedItems>
    </cacheField>
    <cacheField name="時刻" numFmtId="20">
      <sharedItems containsSemiMixedTypes="0" containsNonDate="0" containsDate="1" containsString="0" minDate="1899-12-30T09:10:00" maxDate="1899-12-30T17:03:00"/>
    </cacheField>
    <cacheField name="商品名" numFmtId="0">
      <sharedItems/>
    </cacheField>
    <cacheField name="商品種別" numFmtId="0">
      <sharedItems count="3">
        <s v="惣菜パン"/>
        <s v="基本パン"/>
        <s v="菓子パン"/>
      </sharedItems>
    </cacheField>
    <cacheField name="顧客性別" numFmtId="0">
      <sharedItems count="2">
        <s v="女"/>
        <s v="男"/>
      </sharedItems>
    </cacheField>
    <cacheField name="単価" numFmtId="0">
      <sharedItems containsSemiMixedTypes="0" containsString="0" containsNumber="1" containsInteger="1" minValue="130" maxValue="500"/>
    </cacheField>
    <cacheField name="数量" numFmtId="0">
      <sharedItems containsSemiMixedTypes="0" containsString="0" containsNumber="1" containsInteger="1" minValue="1" maxValue="3"/>
    </cacheField>
    <cacheField name="売上金額" numFmtId="0">
      <sharedItems containsSemiMixedTypes="0" containsString="0" containsNumber="1" containsInteger="1" minValue="13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d v="1899-12-30T09:10:00"/>
    <s v="ミックスサンド"/>
    <x v="0"/>
    <x v="0"/>
    <n v="500"/>
    <n v="1"/>
    <n v="500"/>
  </r>
  <r>
    <x v="0"/>
    <d v="1899-12-30T09:35:00"/>
    <s v="ベーグル"/>
    <x v="1"/>
    <x v="1"/>
    <n v="140"/>
    <n v="2"/>
    <n v="280"/>
  </r>
  <r>
    <x v="0"/>
    <d v="1899-12-30T10:25:00"/>
    <s v="バゲット"/>
    <x v="1"/>
    <x v="0"/>
    <n v="250"/>
    <n v="1"/>
    <n v="250"/>
  </r>
  <r>
    <x v="0"/>
    <d v="1899-12-30T11:18:00"/>
    <s v="クリームパン"/>
    <x v="2"/>
    <x v="0"/>
    <n v="140"/>
    <n v="3"/>
    <n v="420"/>
  </r>
  <r>
    <x v="0"/>
    <d v="1899-12-30T12:04:00"/>
    <s v="ホットドッグ"/>
    <x v="0"/>
    <x v="1"/>
    <n v="240"/>
    <n v="1"/>
    <n v="240"/>
  </r>
  <r>
    <x v="0"/>
    <d v="1899-12-30T12:50:00"/>
    <s v="タマゴサンド"/>
    <x v="0"/>
    <x v="1"/>
    <n v="350"/>
    <n v="1"/>
    <n v="350"/>
  </r>
  <r>
    <x v="0"/>
    <d v="1899-12-30T13:45:00"/>
    <s v="ミックスサンド"/>
    <x v="0"/>
    <x v="0"/>
    <n v="500"/>
    <n v="3"/>
    <n v="1500"/>
  </r>
  <r>
    <x v="0"/>
    <d v="1899-12-30T14:18:00"/>
    <s v="アンパン"/>
    <x v="2"/>
    <x v="1"/>
    <n v="140"/>
    <n v="2"/>
    <n v="280"/>
  </r>
  <r>
    <x v="1"/>
    <d v="1899-12-30T10:10:00"/>
    <s v="カレーパン"/>
    <x v="0"/>
    <x v="1"/>
    <n v="180"/>
    <n v="1"/>
    <n v="180"/>
  </r>
  <r>
    <x v="1"/>
    <d v="1899-12-30T11:21:00"/>
    <s v="アンパン"/>
    <x v="2"/>
    <x v="0"/>
    <n v="140"/>
    <n v="1"/>
    <n v="140"/>
  </r>
  <r>
    <x v="1"/>
    <d v="1899-12-30T12:28:00"/>
    <s v="ツナサンド"/>
    <x v="0"/>
    <x v="0"/>
    <n v="350"/>
    <n v="1"/>
    <n v="350"/>
  </r>
  <r>
    <x v="1"/>
    <d v="1899-12-30T12:36:00"/>
    <s v="メロンパン"/>
    <x v="2"/>
    <x v="0"/>
    <n v="180"/>
    <n v="3"/>
    <n v="540"/>
  </r>
  <r>
    <x v="1"/>
    <d v="1899-12-30T12:59:00"/>
    <s v="ホットドッグ"/>
    <x v="0"/>
    <x v="1"/>
    <n v="240"/>
    <n v="1"/>
    <n v="240"/>
  </r>
  <r>
    <x v="1"/>
    <d v="1899-12-30T14:11:00"/>
    <s v="ロールパン"/>
    <x v="1"/>
    <x v="0"/>
    <n v="130"/>
    <n v="1"/>
    <n v="130"/>
  </r>
  <r>
    <x v="1"/>
    <d v="1899-12-30T14:47:00"/>
    <s v="食パン"/>
    <x v="1"/>
    <x v="0"/>
    <n v="220"/>
    <n v="1"/>
    <n v="220"/>
  </r>
  <r>
    <x v="1"/>
    <d v="1899-12-30T15:03:00"/>
    <s v="タマゴサンド"/>
    <x v="0"/>
    <x v="1"/>
    <n v="350"/>
    <n v="1"/>
    <n v="350"/>
  </r>
  <r>
    <x v="1"/>
    <d v="1899-12-30T15:40:00"/>
    <s v="カレーパン"/>
    <x v="0"/>
    <x v="1"/>
    <n v="180"/>
    <n v="2"/>
    <n v="360"/>
  </r>
  <r>
    <x v="1"/>
    <d v="1899-12-30T16:36:00"/>
    <s v="食パン"/>
    <x v="1"/>
    <x v="1"/>
    <n v="220"/>
    <n v="1"/>
    <n v="220"/>
  </r>
  <r>
    <x v="2"/>
    <d v="1899-12-30T09:50:00"/>
    <s v="クリームパン"/>
    <x v="2"/>
    <x v="0"/>
    <n v="140"/>
    <n v="1"/>
    <n v="140"/>
  </r>
  <r>
    <x v="2"/>
    <d v="1899-12-30T10:39:00"/>
    <s v="ベーグル"/>
    <x v="1"/>
    <x v="0"/>
    <n v="140"/>
    <n v="2"/>
    <n v="280"/>
  </r>
  <r>
    <x v="2"/>
    <d v="1899-12-30T12:28:00"/>
    <s v="コロッケパン"/>
    <x v="0"/>
    <x v="1"/>
    <n v="200"/>
    <n v="1"/>
    <n v="200"/>
  </r>
  <r>
    <x v="2"/>
    <d v="1899-12-30T12:36:00"/>
    <s v="アンパン"/>
    <x v="2"/>
    <x v="0"/>
    <n v="140"/>
    <n v="2"/>
    <n v="280"/>
  </r>
  <r>
    <x v="2"/>
    <d v="1899-12-30T13:07:00"/>
    <s v="カレーパン"/>
    <x v="0"/>
    <x v="0"/>
    <n v="180"/>
    <n v="2"/>
    <n v="360"/>
  </r>
  <r>
    <x v="2"/>
    <d v="1899-12-30T13:24:00"/>
    <s v="ミックスサンド"/>
    <x v="0"/>
    <x v="1"/>
    <n v="500"/>
    <n v="1"/>
    <n v="500"/>
  </r>
  <r>
    <x v="2"/>
    <d v="1899-12-30T14:05:00"/>
    <s v="メロンパン"/>
    <x v="2"/>
    <x v="1"/>
    <n v="180"/>
    <n v="1"/>
    <n v="180"/>
  </r>
  <r>
    <x v="2"/>
    <d v="1899-12-30T14:36:00"/>
    <s v="バゲット"/>
    <x v="1"/>
    <x v="1"/>
    <n v="250"/>
    <n v="1"/>
    <n v="250"/>
  </r>
  <r>
    <x v="2"/>
    <d v="1899-12-30T15:14:00"/>
    <s v="食パン"/>
    <x v="1"/>
    <x v="0"/>
    <n v="220"/>
    <n v="1"/>
    <n v="220"/>
  </r>
  <r>
    <x v="2"/>
    <d v="1899-12-30T15:29:00"/>
    <s v="ロールパン"/>
    <x v="1"/>
    <x v="0"/>
    <n v="130"/>
    <n v="3"/>
    <n v="390"/>
  </r>
  <r>
    <x v="2"/>
    <d v="1899-12-30T15:58:00"/>
    <s v="コロッケパン"/>
    <x v="0"/>
    <x v="1"/>
    <n v="200"/>
    <n v="1"/>
    <n v="200"/>
  </r>
  <r>
    <x v="2"/>
    <d v="1899-12-30T16:23:00"/>
    <s v="カレーパン"/>
    <x v="0"/>
    <x v="1"/>
    <n v="180"/>
    <n v="1"/>
    <n v="180"/>
  </r>
  <r>
    <x v="2"/>
    <d v="1899-12-30T16:41:00"/>
    <s v="バゲット"/>
    <x v="1"/>
    <x v="0"/>
    <n v="250"/>
    <n v="1"/>
    <n v="250"/>
  </r>
  <r>
    <x v="2"/>
    <d v="1899-12-30T16:50:00"/>
    <s v="ベーグル"/>
    <x v="1"/>
    <x v="0"/>
    <n v="140"/>
    <n v="3"/>
    <n v="420"/>
  </r>
  <r>
    <x v="2"/>
    <d v="1899-12-30T17:03:00"/>
    <s v="メロンパン"/>
    <x v="2"/>
    <x v="1"/>
    <n v="180"/>
    <n v="2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売上分析" cacheId="6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chartFormat="6">
  <location ref="A3:D8" firstHeaderRow="1" firstDataRow="2" firstDataCol="1" rowPageCount="1" colPageCount="1"/>
  <pivotFields count="8">
    <pivotField axis="axisPage" numFmtId="14" showAll="0">
      <items count="4">
        <item x="0"/>
        <item x="1"/>
        <item x="2"/>
        <item t="default"/>
      </items>
    </pivotField>
    <pivotField numFmtId="20" showAll="0"/>
    <pivotField showAll="0"/>
    <pivotField axis="axisRow" showAll="0">
      <items count="4">
        <item x="2"/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0" hier="-1"/>
  </pageFields>
  <dataFields count="1">
    <dataField name="平均 / 売上金額" fld="7" subtotal="average" baseField="0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売上記録" displayName="売上記録" ref="B2:I35" totalsRowShown="0">
  <autoFilter ref="B2:I35" xr:uid="{00000000-0009-0000-0100-000001000000}"/>
  <tableColumns count="8">
    <tableColumn id="1" xr3:uid="{00000000-0010-0000-0000-000001000000}" name="日付" dataDxfId="2"/>
    <tableColumn id="2" xr3:uid="{00000000-0010-0000-0000-000002000000}" name="時刻" dataDxfId="1"/>
    <tableColumn id="3" xr3:uid="{00000000-0010-0000-0000-000003000000}" name="商品名"/>
    <tableColumn id="4" xr3:uid="{00000000-0010-0000-0000-000004000000}" name="商品種別"/>
    <tableColumn id="5" xr3:uid="{00000000-0010-0000-0000-000005000000}" name="顧客性別"/>
    <tableColumn id="6" xr3:uid="{00000000-0010-0000-0000-000006000000}" name="単価"/>
    <tableColumn id="7" xr3:uid="{00000000-0010-0000-0000-000007000000}" name="数量"/>
    <tableColumn id="8" xr3:uid="{00000000-0010-0000-0000-000008000000}" name="売上金額" dataDxfId="0">
      <calculatedColumnFormula>売上記録[[#This Row],[単価]]*売上記録[[#This Row],[数量]]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5"/>
  <sheetViews>
    <sheetView tabSelected="1" workbookViewId="0">
      <selection activeCell="E4" sqref="E4"/>
    </sheetView>
  </sheetViews>
  <sheetFormatPr baseColWidth="10" defaultColWidth="8.83203125" defaultRowHeight="18"/>
  <cols>
    <col min="1" max="1" width="4.1640625" customWidth="1"/>
    <col min="2" max="2" width="9.1640625" bestFit="1" customWidth="1"/>
    <col min="3" max="3" width="7" customWidth="1"/>
    <col min="4" max="4" width="15.1640625" bestFit="1" customWidth="1"/>
    <col min="5" max="6" width="10.1640625" customWidth="1"/>
    <col min="7" max="7" width="7.83203125" customWidth="1"/>
    <col min="8" max="8" width="7" customWidth="1"/>
    <col min="9" max="9" width="9.83203125" customWidth="1"/>
  </cols>
  <sheetData>
    <row r="2" spans="2:9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9">
      <c r="B3" s="1">
        <v>42461</v>
      </c>
      <c r="C3" s="2">
        <v>0.38194444444444442</v>
      </c>
      <c r="D3" t="s">
        <v>8</v>
      </c>
      <c r="E3" t="s">
        <v>9</v>
      </c>
      <c r="F3" t="s">
        <v>12</v>
      </c>
      <c r="G3">
        <v>500</v>
      </c>
      <c r="H3">
        <v>1</v>
      </c>
      <c r="I3">
        <f>売上記録[[#This Row],[単価]]*売上記録[[#This Row],[数量]]</f>
        <v>500</v>
      </c>
    </row>
    <row r="4" spans="2:9">
      <c r="B4" s="1">
        <v>42461</v>
      </c>
      <c r="C4" s="2">
        <v>0.39930555555555558</v>
      </c>
      <c r="D4" t="s">
        <v>11</v>
      </c>
      <c r="E4" t="s">
        <v>10</v>
      </c>
      <c r="F4" t="s">
        <v>13</v>
      </c>
      <c r="G4">
        <v>140</v>
      </c>
      <c r="H4">
        <v>2</v>
      </c>
      <c r="I4">
        <f>売上記録[[#This Row],[単価]]*売上記録[[#This Row],[数量]]</f>
        <v>280</v>
      </c>
    </row>
    <row r="5" spans="2:9">
      <c r="B5" s="1">
        <v>42461</v>
      </c>
      <c r="C5" s="2">
        <v>0.43402777777777773</v>
      </c>
      <c r="D5" t="s">
        <v>14</v>
      </c>
      <c r="E5" t="s">
        <v>10</v>
      </c>
      <c r="F5" t="s">
        <v>12</v>
      </c>
      <c r="G5">
        <v>250</v>
      </c>
      <c r="H5">
        <v>1</v>
      </c>
      <c r="I5">
        <f>売上記録[[#This Row],[単価]]*売上記録[[#This Row],[数量]]</f>
        <v>250</v>
      </c>
    </row>
    <row r="6" spans="2:9">
      <c r="B6" s="1">
        <v>42461</v>
      </c>
      <c r="C6" s="2">
        <v>0.47083333333333338</v>
      </c>
      <c r="D6" t="s">
        <v>15</v>
      </c>
      <c r="E6" t="s">
        <v>16</v>
      </c>
      <c r="F6" t="s">
        <v>12</v>
      </c>
      <c r="G6">
        <v>140</v>
      </c>
      <c r="H6">
        <v>3</v>
      </c>
      <c r="I6">
        <f>売上記録[[#This Row],[単価]]*売上記録[[#This Row],[数量]]</f>
        <v>420</v>
      </c>
    </row>
    <row r="7" spans="2:9">
      <c r="B7" s="1">
        <v>42461</v>
      </c>
      <c r="C7" s="2">
        <v>0.50277777777777777</v>
      </c>
      <c r="D7" t="s">
        <v>17</v>
      </c>
      <c r="E7" t="s">
        <v>9</v>
      </c>
      <c r="F7" t="s">
        <v>13</v>
      </c>
      <c r="G7">
        <v>240</v>
      </c>
      <c r="H7">
        <v>1</v>
      </c>
      <c r="I7">
        <f>売上記録[[#This Row],[単価]]*売上記録[[#This Row],[数量]]</f>
        <v>240</v>
      </c>
    </row>
    <row r="8" spans="2:9">
      <c r="B8" s="1">
        <v>42461</v>
      </c>
      <c r="C8" s="2">
        <v>0.53472222222222221</v>
      </c>
      <c r="D8" t="s">
        <v>18</v>
      </c>
      <c r="E8" t="s">
        <v>9</v>
      </c>
      <c r="F8" t="s">
        <v>13</v>
      </c>
      <c r="G8">
        <v>350</v>
      </c>
      <c r="H8">
        <v>1</v>
      </c>
      <c r="I8">
        <f>売上記録[[#This Row],[単価]]*売上記録[[#This Row],[数量]]</f>
        <v>350</v>
      </c>
    </row>
    <row r="9" spans="2:9">
      <c r="B9" s="1">
        <v>42461</v>
      </c>
      <c r="C9" s="2">
        <v>0.57291666666666663</v>
      </c>
      <c r="D9" t="s">
        <v>8</v>
      </c>
      <c r="E9" t="s">
        <v>9</v>
      </c>
      <c r="F9" t="s">
        <v>12</v>
      </c>
      <c r="G9">
        <v>500</v>
      </c>
      <c r="H9">
        <v>3</v>
      </c>
      <c r="I9">
        <f>売上記録[[#This Row],[単価]]*売上記録[[#This Row],[数量]]</f>
        <v>1500</v>
      </c>
    </row>
    <row r="10" spans="2:9">
      <c r="B10" s="1">
        <v>42461</v>
      </c>
      <c r="C10" s="2">
        <v>0.59583333333333333</v>
      </c>
      <c r="D10" t="s">
        <v>19</v>
      </c>
      <c r="E10" t="s">
        <v>16</v>
      </c>
      <c r="F10" t="s">
        <v>13</v>
      </c>
      <c r="G10">
        <v>140</v>
      </c>
      <c r="H10">
        <v>2</v>
      </c>
      <c r="I10">
        <f>売上記録[[#This Row],[単価]]*売上記録[[#This Row],[数量]]</f>
        <v>280</v>
      </c>
    </row>
    <row r="11" spans="2:9">
      <c r="B11" s="1">
        <v>42462</v>
      </c>
      <c r="C11" s="2">
        <v>0.4236111111111111</v>
      </c>
      <c r="D11" t="s">
        <v>20</v>
      </c>
      <c r="E11" t="s">
        <v>9</v>
      </c>
      <c r="F11" t="s">
        <v>13</v>
      </c>
      <c r="G11">
        <v>180</v>
      </c>
      <c r="H11">
        <v>1</v>
      </c>
      <c r="I11">
        <f>売上記録[[#This Row],[単価]]*売上記録[[#This Row],[数量]]</f>
        <v>180</v>
      </c>
    </row>
    <row r="12" spans="2:9">
      <c r="B12" s="1">
        <v>42462</v>
      </c>
      <c r="C12" s="2">
        <v>0.47291666666666665</v>
      </c>
      <c r="D12" t="s">
        <v>21</v>
      </c>
      <c r="E12" t="s">
        <v>16</v>
      </c>
      <c r="F12" t="s">
        <v>12</v>
      </c>
      <c r="G12">
        <v>140</v>
      </c>
      <c r="H12">
        <v>1</v>
      </c>
      <c r="I12">
        <f>売上記録[[#This Row],[単価]]*売上記録[[#This Row],[数量]]</f>
        <v>140</v>
      </c>
    </row>
    <row r="13" spans="2:9">
      <c r="B13" s="1">
        <v>42462</v>
      </c>
      <c r="C13" s="2">
        <v>0.51944444444444449</v>
      </c>
      <c r="D13" t="s">
        <v>22</v>
      </c>
      <c r="E13" t="s">
        <v>9</v>
      </c>
      <c r="F13" t="s">
        <v>12</v>
      </c>
      <c r="G13">
        <v>350</v>
      </c>
      <c r="H13">
        <v>1</v>
      </c>
      <c r="I13">
        <f>売上記録[[#This Row],[単価]]*売上記録[[#This Row],[数量]]</f>
        <v>350</v>
      </c>
    </row>
    <row r="14" spans="2:9">
      <c r="B14" s="1">
        <v>42462</v>
      </c>
      <c r="C14" s="2">
        <v>0.52500000000000002</v>
      </c>
      <c r="D14" t="s">
        <v>23</v>
      </c>
      <c r="E14" t="s">
        <v>16</v>
      </c>
      <c r="F14" t="s">
        <v>12</v>
      </c>
      <c r="G14">
        <v>180</v>
      </c>
      <c r="H14">
        <v>3</v>
      </c>
      <c r="I14">
        <f>売上記録[[#This Row],[単価]]*売上記録[[#This Row],[数量]]</f>
        <v>540</v>
      </c>
    </row>
    <row r="15" spans="2:9">
      <c r="B15" s="1">
        <v>42462</v>
      </c>
      <c r="C15" s="2">
        <v>0.54097222222222219</v>
      </c>
      <c r="D15" t="s">
        <v>17</v>
      </c>
      <c r="E15" t="s">
        <v>9</v>
      </c>
      <c r="F15" t="s">
        <v>13</v>
      </c>
      <c r="G15">
        <v>240</v>
      </c>
      <c r="H15">
        <v>1</v>
      </c>
      <c r="I15">
        <f>売上記録[[#This Row],[単価]]*売上記録[[#This Row],[数量]]</f>
        <v>240</v>
      </c>
    </row>
    <row r="16" spans="2:9">
      <c r="B16" s="1">
        <v>42462</v>
      </c>
      <c r="C16" s="2">
        <v>0.59097222222222223</v>
      </c>
      <c r="D16" t="s">
        <v>24</v>
      </c>
      <c r="E16" t="s">
        <v>10</v>
      </c>
      <c r="F16" t="s">
        <v>12</v>
      </c>
      <c r="G16">
        <v>130</v>
      </c>
      <c r="H16">
        <v>1</v>
      </c>
      <c r="I16">
        <f>売上記録[[#This Row],[単価]]*売上記録[[#This Row],[数量]]</f>
        <v>130</v>
      </c>
    </row>
    <row r="17" spans="2:9">
      <c r="B17" s="1">
        <v>42462</v>
      </c>
      <c r="C17" s="2">
        <v>0.61597222222222225</v>
      </c>
      <c r="D17" t="s">
        <v>25</v>
      </c>
      <c r="E17" t="s">
        <v>10</v>
      </c>
      <c r="F17" t="s">
        <v>12</v>
      </c>
      <c r="G17">
        <v>220</v>
      </c>
      <c r="H17">
        <v>1</v>
      </c>
      <c r="I17">
        <f>売上記録[[#This Row],[単価]]*売上記録[[#This Row],[数量]]</f>
        <v>220</v>
      </c>
    </row>
    <row r="18" spans="2:9">
      <c r="B18" s="1">
        <v>42462</v>
      </c>
      <c r="C18" s="2">
        <v>0.62708333333333333</v>
      </c>
      <c r="D18" t="s">
        <v>26</v>
      </c>
      <c r="E18" t="s">
        <v>9</v>
      </c>
      <c r="F18" t="s">
        <v>13</v>
      </c>
      <c r="G18">
        <v>350</v>
      </c>
      <c r="H18">
        <v>1</v>
      </c>
      <c r="I18">
        <f>売上記録[[#This Row],[単価]]*売上記録[[#This Row],[数量]]</f>
        <v>350</v>
      </c>
    </row>
    <row r="19" spans="2:9">
      <c r="B19" s="1">
        <v>42462</v>
      </c>
      <c r="C19" s="2">
        <v>0.65277777777777779</v>
      </c>
      <c r="D19" t="s">
        <v>20</v>
      </c>
      <c r="E19" t="s">
        <v>9</v>
      </c>
      <c r="F19" t="s">
        <v>13</v>
      </c>
      <c r="G19">
        <v>180</v>
      </c>
      <c r="H19">
        <v>2</v>
      </c>
      <c r="I19">
        <f>売上記録[[#This Row],[単価]]*売上記録[[#This Row],[数量]]</f>
        <v>360</v>
      </c>
    </row>
    <row r="20" spans="2:9">
      <c r="B20" s="1">
        <v>42462</v>
      </c>
      <c r="C20" s="2">
        <v>0.69166666666666676</v>
      </c>
      <c r="D20" t="s">
        <v>25</v>
      </c>
      <c r="E20" t="s">
        <v>10</v>
      </c>
      <c r="F20" t="s">
        <v>13</v>
      </c>
      <c r="G20">
        <v>220</v>
      </c>
      <c r="H20">
        <v>1</v>
      </c>
      <c r="I20">
        <f>売上記録[[#This Row],[単価]]*売上記録[[#This Row],[数量]]</f>
        <v>220</v>
      </c>
    </row>
    <row r="21" spans="2:9">
      <c r="B21" s="1">
        <v>42463</v>
      </c>
      <c r="C21" s="2">
        <v>0.40972222222222227</v>
      </c>
      <c r="D21" t="s">
        <v>27</v>
      </c>
      <c r="E21" t="s">
        <v>16</v>
      </c>
      <c r="F21" t="s">
        <v>12</v>
      </c>
      <c r="G21">
        <v>140</v>
      </c>
      <c r="H21">
        <v>1</v>
      </c>
      <c r="I21">
        <f>売上記録[[#This Row],[単価]]*売上記録[[#This Row],[数量]]</f>
        <v>140</v>
      </c>
    </row>
    <row r="22" spans="2:9">
      <c r="B22" s="1">
        <v>42463</v>
      </c>
      <c r="C22" s="2">
        <v>0.44375000000000003</v>
      </c>
      <c r="D22" t="s">
        <v>28</v>
      </c>
      <c r="E22" t="s">
        <v>10</v>
      </c>
      <c r="F22" t="s">
        <v>12</v>
      </c>
      <c r="G22">
        <v>140</v>
      </c>
      <c r="H22">
        <v>2</v>
      </c>
      <c r="I22">
        <f>売上記録[[#This Row],[単価]]*売上記録[[#This Row],[数量]]</f>
        <v>280</v>
      </c>
    </row>
    <row r="23" spans="2:9">
      <c r="B23" s="1">
        <v>42463</v>
      </c>
      <c r="C23" s="2">
        <v>0.51944444444444449</v>
      </c>
      <c r="D23" t="s">
        <v>29</v>
      </c>
      <c r="E23" t="s">
        <v>9</v>
      </c>
      <c r="F23" t="s">
        <v>13</v>
      </c>
      <c r="G23">
        <v>200</v>
      </c>
      <c r="H23">
        <v>1</v>
      </c>
      <c r="I23">
        <f>売上記録[[#This Row],[単価]]*売上記録[[#This Row],[数量]]</f>
        <v>200</v>
      </c>
    </row>
    <row r="24" spans="2:9">
      <c r="B24" s="1">
        <v>42463</v>
      </c>
      <c r="C24" s="2">
        <v>0.52500000000000002</v>
      </c>
      <c r="D24" t="s">
        <v>19</v>
      </c>
      <c r="E24" t="s">
        <v>16</v>
      </c>
      <c r="F24" t="s">
        <v>12</v>
      </c>
      <c r="G24">
        <v>140</v>
      </c>
      <c r="H24">
        <v>2</v>
      </c>
      <c r="I24">
        <f>売上記録[[#This Row],[単価]]*売上記録[[#This Row],[数量]]</f>
        <v>280</v>
      </c>
    </row>
    <row r="25" spans="2:9">
      <c r="B25" s="1">
        <v>42463</v>
      </c>
      <c r="C25" s="2">
        <v>0.54652777777777783</v>
      </c>
      <c r="D25" t="s">
        <v>30</v>
      </c>
      <c r="E25" t="s">
        <v>9</v>
      </c>
      <c r="F25" t="s">
        <v>12</v>
      </c>
      <c r="G25">
        <v>180</v>
      </c>
      <c r="H25">
        <v>2</v>
      </c>
      <c r="I25">
        <f>売上記録[[#This Row],[単価]]*売上記録[[#This Row],[数量]]</f>
        <v>360</v>
      </c>
    </row>
    <row r="26" spans="2:9">
      <c r="B26" s="1">
        <v>42463</v>
      </c>
      <c r="C26" s="2">
        <v>0.55833333333333335</v>
      </c>
      <c r="D26" t="s">
        <v>8</v>
      </c>
      <c r="E26" t="s">
        <v>9</v>
      </c>
      <c r="F26" t="s">
        <v>13</v>
      </c>
      <c r="G26">
        <v>500</v>
      </c>
      <c r="H26">
        <v>1</v>
      </c>
      <c r="I26">
        <f>売上記録[[#This Row],[単価]]*売上記録[[#This Row],[数量]]</f>
        <v>500</v>
      </c>
    </row>
    <row r="27" spans="2:9">
      <c r="B27" s="1">
        <v>42463</v>
      </c>
      <c r="C27" s="2">
        <v>0.58680555555555558</v>
      </c>
      <c r="D27" t="s">
        <v>31</v>
      </c>
      <c r="E27" t="s">
        <v>16</v>
      </c>
      <c r="F27" t="s">
        <v>13</v>
      </c>
      <c r="G27">
        <v>180</v>
      </c>
      <c r="H27">
        <v>1</v>
      </c>
      <c r="I27">
        <f>売上記録[[#This Row],[単価]]*売上記録[[#This Row],[数量]]</f>
        <v>180</v>
      </c>
    </row>
    <row r="28" spans="2:9">
      <c r="B28" s="1">
        <v>42463</v>
      </c>
      <c r="C28" s="2">
        <v>0.60833333333333328</v>
      </c>
      <c r="D28" t="s">
        <v>14</v>
      </c>
      <c r="E28" t="s">
        <v>10</v>
      </c>
      <c r="F28" t="s">
        <v>13</v>
      </c>
      <c r="G28">
        <v>250</v>
      </c>
      <c r="H28">
        <v>1</v>
      </c>
      <c r="I28">
        <f>売上記録[[#This Row],[単価]]*売上記録[[#This Row],[数量]]</f>
        <v>250</v>
      </c>
    </row>
    <row r="29" spans="2:9">
      <c r="B29" s="1">
        <v>42463</v>
      </c>
      <c r="C29" s="2">
        <v>0.63472222222222219</v>
      </c>
      <c r="D29" t="s">
        <v>25</v>
      </c>
      <c r="E29" t="s">
        <v>10</v>
      </c>
      <c r="F29" t="s">
        <v>12</v>
      </c>
      <c r="G29">
        <v>220</v>
      </c>
      <c r="H29">
        <v>1</v>
      </c>
      <c r="I29">
        <f>売上記録[[#This Row],[単価]]*売上記録[[#This Row],[数量]]</f>
        <v>220</v>
      </c>
    </row>
    <row r="30" spans="2:9">
      <c r="B30" s="1">
        <v>42463</v>
      </c>
      <c r="C30" s="2">
        <v>0.64513888888888882</v>
      </c>
      <c r="D30" t="s">
        <v>24</v>
      </c>
      <c r="E30" t="s">
        <v>10</v>
      </c>
      <c r="F30" t="s">
        <v>12</v>
      </c>
      <c r="G30">
        <v>130</v>
      </c>
      <c r="H30">
        <v>3</v>
      </c>
      <c r="I30">
        <f>売上記録[[#This Row],[単価]]*売上記録[[#This Row],[数量]]</f>
        <v>390</v>
      </c>
    </row>
    <row r="31" spans="2:9">
      <c r="B31" s="1">
        <v>42463</v>
      </c>
      <c r="C31" s="2">
        <v>0.66527777777777775</v>
      </c>
      <c r="D31" t="s">
        <v>29</v>
      </c>
      <c r="E31" t="s">
        <v>9</v>
      </c>
      <c r="F31" t="s">
        <v>13</v>
      </c>
      <c r="G31">
        <v>200</v>
      </c>
      <c r="H31">
        <v>1</v>
      </c>
      <c r="I31">
        <f>売上記録[[#This Row],[単価]]*売上記録[[#This Row],[数量]]</f>
        <v>200</v>
      </c>
    </row>
    <row r="32" spans="2:9">
      <c r="B32" s="1">
        <v>42463</v>
      </c>
      <c r="C32" s="2">
        <v>0.68263888888888891</v>
      </c>
      <c r="D32" t="s">
        <v>20</v>
      </c>
      <c r="E32" t="s">
        <v>9</v>
      </c>
      <c r="F32" t="s">
        <v>13</v>
      </c>
      <c r="G32">
        <v>180</v>
      </c>
      <c r="H32">
        <v>1</v>
      </c>
      <c r="I32">
        <f>売上記録[[#This Row],[単価]]*売上記録[[#This Row],[数量]]</f>
        <v>180</v>
      </c>
    </row>
    <row r="33" spans="2:9">
      <c r="B33" s="1">
        <v>42463</v>
      </c>
      <c r="C33" s="2">
        <v>0.69513888888888886</v>
      </c>
      <c r="D33" t="s">
        <v>14</v>
      </c>
      <c r="E33" t="s">
        <v>10</v>
      </c>
      <c r="F33" t="s">
        <v>12</v>
      </c>
      <c r="G33">
        <v>250</v>
      </c>
      <c r="H33">
        <v>1</v>
      </c>
      <c r="I33">
        <f>売上記録[[#This Row],[単価]]*売上記録[[#This Row],[数量]]</f>
        <v>250</v>
      </c>
    </row>
    <row r="34" spans="2:9">
      <c r="B34" s="1">
        <v>42463</v>
      </c>
      <c r="C34" s="2">
        <v>0.70138888888888884</v>
      </c>
      <c r="D34" t="s">
        <v>32</v>
      </c>
      <c r="E34" t="s">
        <v>10</v>
      </c>
      <c r="F34" t="s">
        <v>12</v>
      </c>
      <c r="G34">
        <v>140</v>
      </c>
      <c r="H34">
        <v>3</v>
      </c>
      <c r="I34">
        <f>売上記録[[#This Row],[単価]]*売上記録[[#This Row],[数量]]</f>
        <v>420</v>
      </c>
    </row>
    <row r="35" spans="2:9">
      <c r="B35" s="1">
        <v>42463</v>
      </c>
      <c r="C35" s="2">
        <v>0.7104166666666667</v>
      </c>
      <c r="D35" t="s">
        <v>33</v>
      </c>
      <c r="E35" t="s">
        <v>16</v>
      </c>
      <c r="F35" t="s">
        <v>13</v>
      </c>
      <c r="G35">
        <v>180</v>
      </c>
      <c r="H35">
        <v>2</v>
      </c>
      <c r="I35">
        <f>売上記録[[#This Row],[単価]]*売上記録[[#This Row],[数量]]</f>
        <v>360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abSelected="1" workbookViewId="0">
      <selection activeCell="E4" sqref="E4"/>
    </sheetView>
  </sheetViews>
  <sheetFormatPr baseColWidth="10" defaultColWidth="8.83203125" defaultRowHeight="18"/>
  <cols>
    <col min="1" max="1" width="15.5" customWidth="1"/>
    <col min="2" max="2" width="14.5" customWidth="1"/>
    <col min="3" max="3" width="12.6640625" customWidth="1"/>
    <col min="4" max="4" width="14.5" customWidth="1"/>
  </cols>
  <sheetData>
    <row r="1" spans="1:4">
      <c r="A1" s="3" t="s">
        <v>42</v>
      </c>
      <c r="B1" t="s">
        <v>43</v>
      </c>
    </row>
    <row r="3" spans="1:4">
      <c r="A3" s="3" t="s">
        <v>44</v>
      </c>
      <c r="B3" s="3" t="s">
        <v>34</v>
      </c>
    </row>
    <row r="4" spans="1:4">
      <c r="A4" s="3" t="s">
        <v>38</v>
      </c>
      <c r="B4" t="s">
        <v>35</v>
      </c>
      <c r="C4" t="s">
        <v>36</v>
      </c>
      <c r="D4" t="s">
        <v>37</v>
      </c>
    </row>
    <row r="5" spans="1:4">
      <c r="A5" s="4" t="s">
        <v>39</v>
      </c>
      <c r="B5" s="5">
        <v>304</v>
      </c>
      <c r="C5" s="5">
        <v>273.33333333333331</v>
      </c>
      <c r="D5" s="5">
        <v>292.5</v>
      </c>
    </row>
    <row r="6" spans="1:4">
      <c r="A6" s="4" t="s">
        <v>40</v>
      </c>
      <c r="B6" s="5">
        <v>270</v>
      </c>
      <c r="C6" s="5">
        <v>250</v>
      </c>
      <c r="D6" s="5">
        <v>264.54545454545456</v>
      </c>
    </row>
    <row r="7" spans="1:4">
      <c r="A7" s="4" t="s">
        <v>41</v>
      </c>
      <c r="B7" s="5">
        <v>677.5</v>
      </c>
      <c r="C7" s="5">
        <v>280</v>
      </c>
      <c r="D7" s="5">
        <v>393.57142857142856</v>
      </c>
    </row>
    <row r="8" spans="1:4">
      <c r="A8" s="4" t="s">
        <v>37</v>
      </c>
      <c r="B8" s="5">
        <v>375.88235294117646</v>
      </c>
      <c r="C8" s="5">
        <v>273.125</v>
      </c>
      <c r="D8" s="5">
        <v>326.06060606060606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記録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2016-05-10T15:02:34Z</dcterms:created>
  <dcterms:modified xsi:type="dcterms:W3CDTF">2020-08-03T19:00:42Z</dcterms:modified>
</cp:coreProperties>
</file>